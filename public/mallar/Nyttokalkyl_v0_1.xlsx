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7a770a48e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ll" sheetId="1" r:id="R20782bc5c48c40c6"/>
    <x:sheet xmlns:r="http://schemas.openxmlformats.org/officeDocument/2006/relationships" name="Exempel 45 sekunder" sheetId="2" r:id="Rd4f2b3e3f08a4a0a"/>
  </x:sheets>
</x:workbook>
</file>

<file path=xl/comments1.xml><?xml version="1.0" encoding="utf-8"?>
<x:comments xmlns:x="http://schemas.openxmlformats.org/spreadsheetml/2006/main">
  <x:authors>
    <x:author>tc={178D9F46-A6FE-4BDF-8FB7-72B37548F8B4}</x:author>
    <x:author>tc={E2280D7E-A047-4416-947D-0BA86A0506D1}</x:author>
    <x:author>tc={B2538862-09CA-4005-AB84-27FD595CC1C6}</x:author>
  </x:authors>
  <x:commentList>
    <x:comment ref="B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Källa: användarens beskrivning av historiskt kalkylantagande, 7 september 2026. Hypotes, inte uppmätt utfall.</x:t>
        </x:r>
      </x:text>
    </x:comment>
    <x:comment ref="B1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220 dagar är ett illustrativt antagande för räkneexemplet, inte en fast standard eller verifierad uppgift.</x:t>
        </x:r>
      </x:text>
    </x:comment>
    <x:comment ref="B1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50 % är endast en illustration. Verksamheten behöver visa hur små tidsvinster kan bli användbar kapacitet.</x:t>
        </x:r>
      </x:text>
    </x:comment>
  </x:commentList>
</x:comments>
</file>

<file path=xl/comments2.xml><?xml version="1.0" encoding="utf-8"?>
<x:comments xmlns:x="http://schemas.openxmlformats.org/spreadsheetml/2006/main">
  <x:authors>
    <x:author>tc={29E275FC-E60D-4125-A540-D4945BF8F493}</x:author>
    <x:author>tc={AA9F8BD5-DF4D-4662-8D9D-29017FBD07ED}</x:author>
    <x:author>tc={411CBE42-3D7B-47AD-BAA6-D3CD040CF146}</x:author>
  </x:authors>
  <x:commentList>
    <x:comment ref="B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Källa: användarens beskrivning av historiskt kalkylantagande, 7 september 2026. Hypotes, inte uppmätt utfall.</x:t>
        </x:r>
      </x:text>
    </x:comment>
    <x:comment ref="B1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220 dagar är ett illustrativt antagande för räkneexemplet, inte en fast standard eller verifierad uppgift.</x:t>
        </x:r>
      </x:text>
    </x:comment>
    <x:comment ref="B1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50 % är endast en illustration. Verksamheten behöver visa hur små tidsvinster kan bli användbar kapacitet.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#,##0.0;[Red](#,##0.0);0"/>
  </x:numFmts>
  <x:fonts count="13">
    <x:font>
      <x:sz val="11"/>
      <x:name val="Carlito"/>
    </x:font>
    <x:font>
      <x:sz val="11"/>
      <x:name val="Aptos"/>
    </x:font>
    <x:font>
      <x:sz val="12"/>
      <x:name val="Aptos"/>
    </x:font>
    <x:font>
      <x:sz val="12"/>
      <x:color rgb="FFFFFFFF"/>
      <x:name val="Aptos"/>
    </x:font>
    <x:font>
      <x:b/>
      <x:sz val="12"/>
      <x:color rgb="FFFFFFFF"/>
      <x:name val="Aptos"/>
    </x:font>
    <x:font>
      <x:b/>
      <x:sz val="20"/>
      <x:color rgb="FFFFFFFF"/>
      <x:name val="Aptos"/>
    </x:font>
    <x:font>
      <x:b/>
      <x:sz val="12"/>
      <x:name val="Aptos"/>
    </x:font>
    <x:font>
      <x:sz val="12"/>
      <x:color rgb="FF1858A8"/>
      <x:name val="Aptos"/>
    </x:font>
    <x:font>
      <x:sz val="12"/>
      <x:color rgb="FF4B5F6A"/>
      <x:name val="Aptos"/>
    </x:font>
    <x:font>
      <x:sz val="12"/>
      <x:color rgb="FF233A4A"/>
      <x:name val="Aptos"/>
    </x:font>
    <x:font>
      <x:sz val="12"/>
      <x:color rgb="FF566A74"/>
      <x:name val="Aptos"/>
    </x:font>
    <x:font>
      <x:sz val="12"/>
      <x:color rgb="FF17654D"/>
      <x:name val="Aptos"/>
    </x:font>
    <x:font>
      <x:b/>
      <x:sz val="12"/>
      <x:color rgb="FF17654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F54"/>
      </x:patternFill>
    </x:fill>
    <x:fill>
      <x:patternFill patternType="solid">
        <x:fgColor rgb="FF35677C"/>
      </x:patternFill>
    </x:fill>
    <x:fill>
      <x:patternFill patternType="solid">
        <x:fgColor rgb="FFFFF7E8"/>
      </x:patternFill>
    </x:fill>
    <x:fill>
      <x:patternFill patternType="solid">
        <x:fgColor rgb="FFEDF1F4"/>
      </x:patternFill>
    </x:fill>
    <x:fill>
      <x:patternFill patternType="solid">
        <x:fgColor rgb="FFE6F3EF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200" fontId="7" fillId="4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201" fontId="7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202" fontId="7" fillId="4" borderId="0" xfId="0" applyNumberFormat="1" applyFont="1" applyFill="1" applyBorder="1" applyAlignment="1">
      <x:alignment wrapText="1"/>
    </x:xf>
    <x:xf numFmtId="202" fontId="9" fillId="5" borderId="0" xfId="0" applyNumberFormat="1" applyFont="1" applyFill="1" applyBorder="1" applyAlignment="1">
      <x:alignment wrapText="1"/>
    </x:xf>
    <x:xf numFmtId="202" fontId="1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4b42c204e4799" /><Relationship Type="http://schemas.openxmlformats.org/officeDocument/2006/relationships/theme" Target="/xl/theme/theme1.xml" Id="R079aa17d02f64a9e" /><Relationship Type="http://schemas.openxmlformats.org/officeDocument/2006/relationships/sharedStrings" Target="/xl/sharedStrings.xml" Id="R02d006f8b5c54459" /><Relationship Type="http://schemas.openxmlformats.org/officeDocument/2006/relationships/worksheet" Target="/xl/worksheets/sheet1.xml" Id="R20782bc5c48c40c6" /><Relationship Type="http://schemas.openxmlformats.org/officeDocument/2006/relationships/worksheet" Target="/xl/worksheets/sheet2.xml" Id="Rd4f2b3e3f08a4a0a" /><Relationship Type="http://schemas.microsoft.com/office/2017/10/relationships/person" Target="/xl/persons/person.xml" Id="R29885bbfe8ea4825" /></Relationships>
</file>

<file path=xl/persons/person.xml><?xml version="1.0" encoding="utf-8"?>
<xltc:personList xmlns:xltc="http://schemas.microsoft.com/office/spreadsheetml/2018/threadedcomments">
  <xltc:person displayName="Gemensam nyttokalkyl" id="{F9A558BB-C534-47AA-8107-F90D26B363E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3" dT="2026-09-07T10:12:21.352" personId="{F9A558BB-C534-47AA-8107-F90D26B363E0}" id="{178D9F46-A6FE-4BDF-8FB7-72B37548F8B4}">
    <xltc:text>Källa: användarens beskrivning av historiskt kalkylantagande, 7 september 2026. Hypotes, inte uppmätt utfall.</xltc:text>
  </xltc:threadedComment>
  <xltc:threadedComment ref="B14" dT="2026-09-07T10:12:21.353" personId="{F9A558BB-C534-47AA-8107-F90D26B363E0}" id="{E2280D7E-A047-4416-947D-0BA86A0506D1}">
    <xltc:text>220 dagar är ett illustrativt antagande för räkneexemplet, inte en fast standard eller verifierad uppgift.</xltc:text>
  </xltc:threadedComment>
  <xltc:threadedComment ref="B16" dT="2026-09-07T10:12:21.353" personId="{F9A558BB-C534-47AA-8107-F90D26B363E0}" id="{B2538862-09CA-4005-AB84-27FD595CC1C6}">
    <xltc:text>50 % är endast en illustration. Verksamheten behöver visa hur små tidsvinster kan bli användbar kapacitet.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3" dT="2026-09-07T10:12:21.373" personId="{F9A558BB-C534-47AA-8107-F90D26B363E0}" id="{29E275FC-E60D-4125-A540-D4945BF8F493}">
    <xltc:text>Källa: användarens beskrivning av historiskt kalkylantagande, 7 september 2026. Hypotes, inte uppmätt utfall.</xltc:text>
  </xltc:threadedComment>
  <xltc:threadedComment ref="B14" dT="2026-09-07T10:12:21.373" personId="{F9A558BB-C534-47AA-8107-F90D26B363E0}" id="{AA9F8BD5-DF4D-4662-8D9D-29017FBD07ED}">
    <xltc:text>220 dagar är ett illustrativt antagande för räkneexemplet, inte en fast standard eller verifierad uppgift.</xltc:text>
  </xltc:threadedComment>
  <xltc:threadedComment ref="B16" dT="2026-09-07T10:12:21.373" personId="{F9A558BB-C534-47AA-8107-F90D26B363E0}" id="{411CBE42-3D7B-47AD-BAA6-D3CD040CF146}">
    <xltc:text>50 % är endast en illustration. Verksamheten behöver visa hur små tidsvinster kan bli användbar kapacitet.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2ff5a48f0ea43fb" /><Relationship Type="http://schemas.openxmlformats.org/officeDocument/2006/relationships/vmlDrawing" Target="/xl/drawings/vmldrawing.vml" Id="Rdae6bf8cb8d64e64" /><Relationship Type="http://schemas.microsoft.com/office/2017/10/relationships/threadedComment" Target="/xl/threadedcomments/threadedcomment.xml" Id="R6a8ed2c1f4b54d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6c8c6eaea63e4ea4" /><Relationship Type="http://schemas.openxmlformats.org/officeDocument/2006/relationships/vmlDrawing" Target="/xl/drawings/vmldrawing2.vml" Id="R5758775c5d884dc0" /><Relationship Type="http://schemas.microsoft.com/office/2017/10/relationships/threadedComment" Target="/xl/threadedcomments/threadedcomment2.xml" Id="Rd28cfa9171e640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8" hidden="0" customWidth="1"/>
    <x:col min="3" max="3" width="48" hidden="0" customWidth="1"/>
  </x:cols>
  <x:sheetData>
    <x:row r="1" ht="44" customHeight="1">
      <x:c r="A1" s="7" t="str">
        <x:v>Nyttokalkyl · version 0.1</x:v>
      </x:c>
      <x:c r="B1" s="6" t="str">
        <x:v>Nyttokalkyl · version 0.1</x:v>
      </x:c>
      <x:c r="C1" s="6" t="str">
        <x:v>Nyttokalkyl · version 0.1</x:v>
      </x:c>
    </x:row>
    <x:row r="2" ht="50" customHeight="1">
      <x:c r="A2" s="10" t="str">
        <x:v>Bedömd effektpotential före prioritering – inte ett effektåtagande</x:v>
      </x:c>
      <x:c r="B2" s="10" t="str">
        <x:v>Bedömd effektpotential före prioritering – inte ett effektåtagande</x:v>
      </x:c>
      <x:c r="C2" s="10" t="str">
        <x:v>Bedömd effektpotential före prioritering – inte ett effektåtagande</x:v>
      </x:c>
    </x:row>
    <x:row r="3" ht="50" customHeight="1">
      <x:c r="A3" s="10" t="str">
        <x:v>En kalkyl per nytta, mottagande verksamhet och period. Fyll bara i relevanta delar.</x:v>
      </x:c>
      <x:c r="B3" s="10" t="str">
        <x:v>En kalkyl per nytta, mottagande verksamhet och period. Fyll bara i relevanta delar.</x:v>
      </x:c>
      <x:c r="C3" s="10" t="str">
        <x:v>En kalkyl per nytta, mottagande verksamhet och period. Fyll bara i relevanta delar.</x:v>
      </x:c>
    </x:row>
    <x:row r="4" ht="50" customHeight="1">
      <x:c r="A4" s="11" t="str">
        <x:v>Vad behövs?</x:v>
      </x:c>
      <x:c r="B4" s="11" t="str">
        <x:v>Fyll i blå text på ljus bakgrund</x:v>
      </x:c>
      <x:c r="C4" s="11" t="str">
        <x:v>Vem bidrar / varför behövs det?</x:v>
      </x:c>
    </x:row>
    <x:row r="5" ht="50" customHeight="1">
      <x:c r="A5" s="6" t="str">
        <x:v>1. Verksamheten beskriver nyttan</x:v>
      </x:c>
      <x:c r="B5" s="6" t="str">
        <x:v>1. Verksamheten beskriver nyttan</x:v>
      </x:c>
      <x:c r="C5" s="6" t="str">
        <x:v>1. Verksamheten beskriver nyttan</x:v>
      </x:c>
    </x:row>
    <x:row r="6" ht="50" customHeight="1">
      <x:c r="A6" s="3" t="str">
        <x:v>Initiativ / ärende och version</x:v>
      </x:c>
      <x:c r="B6" s="13" t="str"/>
      <x:c r="C6" s="14" t="str">
        <x:v>Samordnaren håller ihop samma underlag.</x:v>
      </x:c>
    </x:row>
    <x:row r="7" ht="50" customHeight="1">
      <x:c r="A7" s="3" t="str">
        <x:v>Mottagande verksamhet</x:v>
      </x:c>
      <x:c r="B7" s="13" t="str"/>
      <x:c r="C7" s="14" t="str">
        <x:v>Verksamheten avgränsar vilka som kan få nyttan. Vid beslut krävs lokala åtaganden.</x:v>
      </x:c>
    </x:row>
    <x:row r="8" ht="66" customHeight="1">
      <x:c r="A8" s="3" t="str">
        <x:v>Önskad nytta och förändrat arbetssätt</x:v>
      </x:c>
      <x:c r="B8" s="13" t="str"/>
      <x:c r="C8" s="14" t="str">
        <x:v>Verksamheten beskriver vad som ska bli bättre och vad den måste göra annorlunda.</x:v>
      </x:c>
    </x:row>
    <x:row r="9" ht="50" customHeight="1">
      <x:c r="A9" s="3" t="str">
        <x:v>Period som hela kalkylen avser</x:v>
      </x:c>
      <x:c r="B9" s="13" t="str"/>
      <x:c r="C9" s="14" t="str">
        <x:v>Verksamhet + ekonomi. Samma period för nytta och alla kostnader. Ange från–till.</x:v>
      </x:c>
    </x:row>
    <x:row r="10" ht="50" customHeight="1">
      <x:c r="A10" s="3" t="str">
        <x:v>Föreslagen lokal effektägare</x:v>
      </x:c>
      <x:c r="B10" s="13" t="str"/>
      <x:c r="C10" s="14" t="str">
        <x:v>Verksamhetschef utser person med mandat. Detta är ett förslag, inte en accept.</x:v>
      </x:c>
    </x:row>
    <x:row r="11" ht="50" customHeight="1">
      <x:c r="A11" s="6" t="str">
        <x:v>2. Antaganden om tidsvinst · fylls i med verksamheten</x:v>
      </x:c>
      <x:c r="B11" s="6" t="str">
        <x:v>2. Antaganden om tidsvinst · fylls i med verksamheten</x:v>
      </x:c>
      <x:c r="C11" s="6" t="str">
        <x:v>2. Antaganden om tidsvinst · fylls i med verksamheten</x:v>
      </x:c>
    </x:row>
    <x:row r="12" ht="50" customHeight="1">
      <x:c r="A12" s="3" t="str">
        <x:v>Antal berörda medarbetare</x:v>
      </x:c>
      <x:c r="B12" s="23" t="str"/>
      <x:c r="C12" s="14" t="str">
        <x:v>Verksamheten. Ett avgränsat antal, inte automatiskt alla anställda.</x:v>
      </x:c>
    </x:row>
    <x:row r="13" ht="50" customHeight="1">
      <x:c r="A13" s="3" t="str">
        <x:v>Sekunder sparade per person och relevant dag</x:v>
      </x:c>
      <x:c r="B13" s="23" t="str"/>
      <x:c r="C13" s="14" t="str">
        <x:v>Verksamhet / analys. Hypotes att pröva genom mätning.</x:v>
      </x:c>
    </x:row>
    <x:row r="14" ht="50" customHeight="1">
      <x:c r="A14" s="3" t="str">
        <x:v>Relevanta dagar per person under perioden</x:v>
      </x:c>
      <x:c r="B14" s="23" t="str"/>
      <x:c r="C14" s="14" t="str">
        <x:v>Verksamheten. 220 är bara ett räkneantagande i exemplet.</x:v>
      </x:c>
    </x:row>
    <x:row r="15" ht="50" customHeight="1">
      <x:c r="A15" s="3" t="str">
        <x:v>Andel som faktiskt nås och använder arbetssättet</x:v>
      </x:c>
      <x:c r="B15" s="15" t="str"/>
      <x:c r="C15" s="14" t="str">
        <x:v>Verksamheten. 100 % är ett antagande, inte ett konstaterat utfall.</x:v>
      </x:c>
    </x:row>
    <x:row r="16" ht="50" customHeight="1">
      <x:c r="A16" s="3" t="str">
        <x:v>Andel av tidsvinsten som bedöms användbar</x:v>
      </x:c>
      <x:c r="B16" s="15" t="str"/>
      <x:c r="C16" s="14" t="str">
        <x:v>Verksamhet + ekonomi. Små tidsluckor blir inte alltid användbar kapacitet.</x:v>
      </x:c>
    </x:row>
    <x:row r="17" ht="78" customHeight="1">
      <x:c r="A17" s="3" t="str">
        <x:v>Underlag och viktigaste osäkerhet</x:v>
      </x:c>
      <x:c r="B17" s="13" t="str"/>
      <x:c r="C17" s="14" t="str">
        <x:v>Analys med verksamhet + ekonomi. Ange källa, hur antagandet prövas och vad som kan ge lägre nytta.</x:v>
      </x:c>
    </x:row>
    <x:row r="18" ht="50" customHeight="1">
      <x:c r="A18" s="3" t="str">
        <x:v>Sekunder per timme (omräkning)</x:v>
      </x:c>
      <x:c r="B18" s="24" t="n">
        <x:v>3600</x:v>
      </x:c>
      <x:c r="C18" s="14" t="str">
        <x:v>Fast enhetsomräkning. Ändra inte.</x:v>
      </x:c>
    </x:row>
    <x:row r="19" ht="50" customHeight="1">
      <x:c r="A19" s="3" t="str">
        <x:v>Teoretisk tidsvinst under perioden, timmar</x:v>
      </x:c>
      <x:c r="B19" s="25" t="str">
        <x:f>IF(COUNT(B12:B15)&lt;4,"",B12*B13*B14*B15/B18)</x:f>
      </x:c>
      <x:c r="C19" s="14" t="str">
        <x:v>Beräknas före antagandet om användbarhet. Ingen budgetbesparing.</x:v>
      </x:c>
    </x:row>
    <x:row r="20" ht="50" customHeight="1">
      <x:c r="A20" s="3" t="str">
        <x:v>Bedömd användbar tid, timmar</x:v>
      </x:c>
      <x:c r="B20" s="25" t="str">
        <x:f>IF(OR(B19="",COUNT(B16)=0),"",B19*B16)</x:f>
      </x:c>
      <x:c r="C20" s="14" t="str">
        <x:v>Icke bindande potential efter båda andelarna. Inte uppmätt eller realiserad effekt.</x:v>
      </x:c>
    </x:row>
    <x:row r="21" ht="50" customHeight="1">
      <x:c r="A21" s="6" t="str">
        <x:v>3. Kostnader och eventuell ekonomisk nytta · samma period</x:v>
      </x:c>
      <x:c r="B21" s="6" t="str">
        <x:v>3. Kostnader och eventuell ekonomisk nytta · samma period</x:v>
      </x:c>
      <x:c r="C21" s="6" t="str">
        <x:v>3. Kostnader och eventuell ekonomisk nytta · samma period</x:v>
      </x:c>
    </x:row>
    <x:row r="22" ht="50" customHeight="1">
      <x:c r="A22" s="3" t="str">
        <x:v>IT / gemensamma förutsättningar, kr</x:v>
      </x:c>
      <x:c r="B22" s="23" t="str"/>
      <x:c r="C22" s="14" t="str">
        <x:v>IT uppskattar införande + löpande kostnader. Ekonomi granskar fördelningen. Ange 0 om inga.</x:v>
      </x:c>
    </x:row>
    <x:row r="23" ht="50" customHeight="1">
      <x:c r="A23" s="3" t="str">
        <x:v>Verksamhetens förändring och förvaltning, kr</x:v>
      </x:c>
      <x:c r="B23" s="23" t="str"/>
      <x:c r="C23" s="14" t="str">
        <x:v>Verksamhet + ekonomi: dataarbete, utbildning, omställning och löpande merkostnader. Ange 0 om inga.</x:v>
      </x:c>
    </x:row>
    <x:row r="24" ht="50" customHeight="1">
      <x:c r="A24" s="3" t="str">
        <x:v>Summa kostnad under perioden, kr</x:v>
      </x:c>
      <x:c r="B24" s="25" t="str">
        <x:f>IF(COUNT(B22:B23)&lt;2,"",SUM(B22:B23))</x:f>
      </x:c>
      <x:c r="C24" s="14" t="str">
        <x:v>Båda kostnadsraderna behövs. Tomt betyder okänt, inte noll.</x:v>
      </x:c>
    </x:row>
    <x:row r="25" ht="66" customHeight="1">
      <x:c r="A25" s="3" t="str">
        <x:v>Bedömd faktisk kostnadsminskning, kr</x:v>
      </x:c>
      <x:c r="B25" s="23" t="str"/>
      <x:c r="C25" s="14" t="str">
        <x:v>Ekonomi + verksamhet: vilken utgift kan minska? Ange 0 om ingen är identifierad. Timmar omvandlas inte automatiskt till kronor.</x:v>
      </x:c>
    </x:row>
    <x:row r="26" ht="50" customHeight="1">
      <x:c r="A26" s="3" t="str">
        <x:v>Ekonomiskt netto under perioden, kr</x:v>
      </x:c>
      <x:c r="B26" s="25" t="str">
        <x:f>IF(OR(B24="",COUNT(B25)=0),"",B25-B24)</x:f>
      </x:c>
      <x:c r="C26" s="14" t="str">
        <x:v>Kostnadsminskning minus kostnader. Tid och kvalitet ingår inte i kr-nettot.</x:v>
      </x:c>
    </x:row>
    <x:row r="27" ht="66" customHeight="1">
      <x:c r="A27" s="3" t="str">
        <x:v>Förklaring till kronor / gemensam kostnad</x:v>
      </x:c>
      <x:c r="B27" s="13" t="str"/>
      <x:c r="C27" s="14" t="str">
        <x:v>Ekonomi: utgift som kan minska, källa och tidpunkt. IT anger beroende/kostnads-ID och andel. Räkna gemensam kostnad en gång på totalen.</x:v>
      </x:c>
    </x:row>
    <x:row r="28" ht="50" customHeight="1">
      <x:c r="A28" s="6" t="str">
        <x:v>4. Hur ska verksamheten kunna visa nyttan? · ett första förslag</x:v>
      </x:c>
      <x:c r="B28" s="6" t="str">
        <x:v>4. Hur ska verksamheten kunna visa nyttan? · ett första förslag</x:v>
      </x:c>
      <x:c r="C28" s="6" t="str">
        <x:v>4. Hur ska verksamheten kunna visa nyttan? · ett första förslag</x:v>
      </x:c>
    </x:row>
    <x:row r="29" ht="50" customHeight="1">
      <x:c r="A29" s="3" t="str">
        <x:v>Kvalitet eller annan nytta / skyddsmått</x:v>
      </x:c>
      <x:c r="B29" s="13" t="str"/>
      <x:c r="C29" s="14" t="str">
        <x:v>Verksamheten anger mått i egen enhet. Exempelvis felandel eller svarstid. Sämre kvalitet får inte döljas av tidsvinst.</x:v>
      </x:c>
    </x:row>
    <x:row r="30" ht="78" customHeight="1">
      <x:c r="A30" s="3" t="str">
        <x:v>Nuläge, mätetal och datakälla</x:v>
      </x:c>
      <x:c r="B30" s="13" t="str"/>
      <x:c r="C30" s="14" t="str">
        <x:v>Verksamhet + analys. Ange befintlig baseline eller vad som måste mätas före förändringen.</x:v>
      </x:c>
    </x:row>
    <x:row r="31" ht="60" customHeight="1">
      <x:c r="A31" s="3" t="str">
        <x:v>Vem mäter och när?</x:v>
      </x:c>
      <x:c r="B31" s="13" t="str"/>
      <x:c r="C31" s="14" t="str">
        <x:v>Verksamheten utser person och föreslår datum för nuläge, första uppföljning och full effekt. IT kan tillhandahålla data.</x:v>
      </x:c>
    </x:row>
    <x:row r="32" ht="50" customHeight="1">
      <x:c r="A32" s="3" t="str">
        <x:v>Nästa komplettering</x:v>
      </x:c>
      <x:c r="B32" s="13" t="str"/>
      <x:c r="C32" s="14" t="str">
        <x:v>Samordnaren beskriver en konkret sak som saknas för bedömning. Lägg fler uppgifter i ärendet.</x:v>
      </x:c>
    </x:row>
    <x:row r="33" ht="50" customHeight="1">
      <x:c r="A33" s="3" t="str">
        <x:v>Ansvarig person för kompletteringen</x:v>
      </x:c>
      <x:c r="B33" s="13" t="str"/>
      <x:c r="C33" s="14" t="str">
        <x:v>Samordnaren pekar ut en person tillsammans med berörd verksamhet.</x:v>
      </x:c>
    </x:row>
    <x:row r="34" ht="50" customHeight="1">
      <x:c r="A34" s="3" t="str">
        <x:v>Klart senast</x:v>
      </x:c>
      <x:c r="B34" s="18" t="str"/>
      <x:c r="C34" s="14" t="str">
        <x:v>Samordnaren + ansvarig kommer överens om datum.</x:v>
      </x:c>
    </x:row>
    <x:row r="35" ht="50" customHeight="1">
      <x:c r="A35" s="6" t="str">
        <x:v>5. Låt samma underlag gå mellan rollerna · namn och datum</x:v>
      </x:c>
      <x:c r="B35" s="6" t="str">
        <x:v>5. Låt samma underlag gå mellan rollerna · namn och datum</x:v>
      </x:c>
      <x:c r="C35" s="6" t="str">
        <x:v>5. Låt samma underlag gå mellan rollerna · namn och datum</x:v>
      </x:c>
    </x:row>
    <x:row r="36" ht="50" customHeight="1">
      <x:c r="A36" s="3" t="str">
        <x:v>Verksamheten har berett nyttan</x:v>
      </x:c>
      <x:c r="B36" s="13" t="str"/>
      <x:c r="C36" s="14" t="str">
        <x:v>Nytta, mottagare, förändring och förslag till uppföljning. Inte accept av ett effektåtagande.</x:v>
      </x:c>
    </x:row>
    <x:row r="37" ht="50" customHeight="1">
      <x:c r="A37" s="3" t="str">
        <x:v>IT har kompletterat förutsättningarna</x:v>
      </x:c>
      <x:c r="B37" s="13" t="str"/>
      <x:c r="C37" s="14" t="str">
        <x:v>Beroenden, IT-kostnad och tekniska möjligheter till mätning. IT äger inte verksamhetens nytta.</x:v>
      </x:c>
    </x:row>
    <x:row r="38" ht="50" customHeight="1">
      <x:c r="A38" s="3" t="str">
        <x:v>Ekonomi har granskat kalkylen</x:v>
      </x:c>
      <x:c r="B38" s="13" t="str"/>
      <x:c r="C38" s="14" t="str">
        <x:v>Antaganden, period, kostnader, fördelning och skillnaden mellan tidsvinst och pengar.</x:v>
      </x:c>
    </x:row>
    <x:row r="39" ht="50" customHeight="1">
      <x:c r="A39" s="3" t="str">
        <x:v>Samordnaren har lämnat till beredning</x:v>
      </x:c>
      <x:c r="B39" s="13" t="str"/>
      <x:c r="C39" s="14" t="str">
        <x:v>Håller ihop kompletteringarna och lämnar potentialen till kvalificering / prioritering. Ingen automatisk prioritering.</x:v>
      </x:c>
    </x:row>
    <x:row r="40" ht="50" customHeight="1">
      <x:c r="A40" s="10" t="str">
        <x:v>Före start krävs separat lokalt effektåtagande och mänskligt beslut.</x:v>
      </x:c>
      <x:c r="B40" s="10" t="str">
        <x:v>Före start krävs separat lokalt effektåtagande och mänskligt beslut.</x:v>
      </x:c>
      <x:c r="C40" s="10" t="str">
        <x:v>Före start krävs separat lokalt effektåtagande och mänskligt beslut.</x:v>
      </x:c>
    </x:row>
    <x:row r="41" ht="48" customHeight="1">
      <x:c r="A41" s="10" t="str">
        <x:v>Denna mall ersätter inte startkraven: accepterad baseline, ansvar, förändring, kapacitet och datumsatt mätning.</x:v>
      </x:c>
      <x:c r="B41" s="10" t="str">
        <x:v>Denna mall ersätter inte startkraven: accepterad baseline, ansvar, förändring, kapacitet och datumsatt mätning.</x:v>
      </x:c>
      <x:c r="C41" s="10" t="str">
        <x:v>Denna mall ersätter inte startkraven: accepterad baseline, ansvar, förändring, kapacitet och datumsatt mätning.</x:v>
      </x:c>
    </x:row>
    <x:row r="42" ht="48" customHeight="1">
      <x:c r="A42" s="10" t="str">
        <x:v>Ingen automatisk koppling till Cockpit i version 0.1. Samordnaren för över granskade uppgifter med källa och version.</x:v>
      </x:c>
      <x:c r="B42" s="10" t="str">
        <x:v>Ingen automatisk koppling till Cockpit i version 0.1. Samordnaren för över granskade uppgifter med källa och version.</x:v>
      </x:c>
      <x:c r="C42" s="10" t="str">
        <x:v>Ingen automatisk koppling till Cockpit i version 0.1. Samordnaren för över granskade uppgifter med källa och version.</x:v>
      </x:c>
    </x:row>
    <x:row r="43" ht="50" customHeight="1">
      <x:c r="A43" s="19" t="str">
        <x:v>Arbetsförslag till gemensam mall. Ej beslutad organisationsgemensam standard.</x:v>
      </x:c>
      <x:c r="B43" s="3"/>
      <x:c r="C43" s="3"/>
    </x:row>
  </x:sheetData>
  <x:mergeCells>
    <x:mergeCell ref="A1:C1"/>
    <x:mergeCell ref="A2:C2"/>
    <x:mergeCell ref="A3:C3"/>
    <x:mergeCell ref="A5:C5"/>
    <x:mergeCell ref="A11:C11"/>
    <x:mergeCell ref="A21:C21"/>
    <x:mergeCell ref="A28:C28"/>
    <x:mergeCell ref="A35:C35"/>
    <x:mergeCell ref="A40:C40"/>
    <x:mergeCell ref="A41:C41"/>
    <x:mergeCell ref="A42:C42"/>
    <x:mergeCell ref="A43:C43"/>
  </x:mergeCells>
  <x:dataValidations count="8">
    <x:dataValidation type="decimal" operator="between" sqref="B15">
      <x:formula1>0</x:formula1>
      <x:formula2>1</x:formula2>
    </x:dataValidation>
    <x:dataValidation type="decimal" operator="between" sqref="B16">
      <x:formula1>0</x:formula1>
      <x:formula2>1</x:formula2>
    </x:dataValidation>
    <x:dataValidation type="decimal" operator="greaterThanOrEqual" sqref="B12">
      <x:formula1>0</x:formula1>
    </x:dataValidation>
    <x:dataValidation type="decimal" operator="greaterThanOrEqual" sqref="B13">
      <x:formula1>0</x:formula1>
    </x:dataValidation>
    <x:dataValidation type="decimal" operator="greaterThanOrEqual" sqref="B14">
      <x:formula1>0</x:formula1>
    </x:dataValidation>
    <x:dataValidation type="decimal" operator="greaterThanOrEqual" sqref="B22">
      <x:formula1>0</x:formula1>
    </x:dataValidation>
    <x:dataValidation type="decimal" operator="greaterThanOrEqual" sqref="B23">
      <x:formula1>0</x:formula1>
    </x:dataValidation>
    <x:dataValidation type="decimal" operator="greaterThanOrEqual" sqref="B25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dae6bf8cb8d64e6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8" hidden="0" customWidth="1"/>
    <x:col min="3" max="3" width="48" hidden="0" customWidth="1"/>
  </x:cols>
  <x:sheetData>
    <x:row r="1" ht="44" customHeight="1">
      <x:c r="A1" s="7" t="str">
        <x:v>Nyttokalkyl · version 0.1</x:v>
      </x:c>
      <x:c r="B1" s="6" t="str">
        <x:v>Nyttokalkyl · version 0.1</x:v>
      </x:c>
      <x:c r="C1" s="6" t="str">
        <x:v>Nyttokalkyl · version 0.1</x:v>
      </x:c>
    </x:row>
    <x:row r="2" ht="50" customHeight="1">
      <x:c r="A2" s="10" t="str">
        <x:v>Räkneexempel – möjliga tidsvinster, inte ett effektåtagande</x:v>
      </x:c>
      <x:c r="B2" s="10" t="str">
        <x:v>Räkneexempel – möjliga tidsvinster, inte ett effektåtagande</x:v>
      </x:c>
      <x:c r="C2" s="10" t="str">
        <x:v>Räkneexempel – möjliga tidsvinster, inte ett effektåtagande</x:v>
      </x:c>
    </x:row>
    <x:row r="3" ht="50" customHeight="1">
      <x:c r="A3" s="10" t="str">
        <x:v>En kalkyl per nytta, mottagande verksamhet och period. Fyll bara i relevanta delar.</x:v>
      </x:c>
      <x:c r="B3" s="10" t="str">
        <x:v>En kalkyl per nytta, mottagande verksamhet och period. Fyll bara i relevanta delar.</x:v>
      </x:c>
      <x:c r="C3" s="10" t="str">
        <x:v>En kalkyl per nytta, mottagande verksamhet och period. Fyll bara i relevanta delar.</x:v>
      </x:c>
    </x:row>
    <x:row r="4" ht="50" customHeight="1">
      <x:c r="A4" s="11" t="str">
        <x:v>Vad behövs?</x:v>
      </x:c>
      <x:c r="B4" s="11" t="str">
        <x:v>Fyll i blå text på ljus bakgrund</x:v>
      </x:c>
      <x:c r="C4" s="11" t="str">
        <x:v>Vem bidrar / varför behövs det?</x:v>
      </x:c>
    </x:row>
    <x:row r="5" ht="50" customHeight="1">
      <x:c r="A5" s="6" t="str">
        <x:v>1. Verksamheten beskriver nyttan</x:v>
      </x:c>
      <x:c r="B5" s="6" t="str">
        <x:v>1. Verksamheten beskriver nyttan</x:v>
      </x:c>
      <x:c r="C5" s="6" t="str">
        <x:v>1. Verksamheten beskriver nyttan</x:v>
      </x:c>
    </x:row>
    <x:row r="6" ht="50" customHeight="1">
      <x:c r="A6" s="3" t="str">
        <x:v>Initiativ / ärende och version</x:v>
      </x:c>
      <x:c r="B6" s="13" t="str">
        <x:v>Enklare vardagsadministration · utkast 1</x:v>
      </x:c>
      <x:c r="C6" s="14" t="str">
        <x:v>Samordnaren håller ihop samma underlag.</x:v>
      </x:c>
    </x:row>
    <x:row r="7" ht="50" customHeight="1">
      <x:c r="A7" s="3" t="str">
        <x:v>Mottagande verksamhet</x:v>
      </x:c>
      <x:c r="B7" s="13" t="str">
        <x:v>Exempelorganisationens berörda verksamheter</x:v>
      </x:c>
      <x:c r="C7" s="14" t="str">
        <x:v>Verksamheten avgränsar vilka som kan få nyttan. Vid beslut krävs lokala åtaganden.</x:v>
      </x:c>
    </x:row>
    <x:row r="8" ht="66" customHeight="1">
      <x:c r="A8" s="3" t="str">
        <x:v>Önskad nytta och förändrat arbetssätt</x:v>
      </x:c>
      <x:c r="B8" s="13" t="str">
        <x:v>Mindre dubbelregistrering. Frigjord tid ska användas i ordinarie verksamhet; användbarheten är ännu inte visad.</x:v>
      </x:c>
      <x:c r="C8" s="14" t="str">
        <x:v>Verksamheten beskriver vad som ska bli bättre och vad den måste göra annorlunda.</x:v>
      </x:c>
    </x:row>
    <x:row r="9" ht="50" customHeight="1">
      <x:c r="A9" s="3" t="str">
        <x:v>Period som hela kalkylen avser</x:v>
      </x:c>
      <x:c r="B9" s="13" t="str">
        <x:v>Ett år efter införande (illustration)</x:v>
      </x:c>
      <x:c r="C9" s="14" t="str">
        <x:v>Verksamhet + ekonomi. Samma period för nytta och alla kostnader. Ange från–till.</x:v>
      </x:c>
    </x:row>
    <x:row r="10" ht="50" customHeight="1">
      <x:c r="A10" s="3" t="str">
        <x:v>Föreslagen lokal effektägare</x:v>
      </x:c>
      <x:c r="B10" s="13" t="str"/>
      <x:c r="C10" s="14" t="str">
        <x:v>Verksamhetschef utser person med mandat. Detta är ett förslag, inte en accept.</x:v>
      </x:c>
    </x:row>
    <x:row r="11" ht="50" customHeight="1">
      <x:c r="A11" s="6" t="str">
        <x:v>2. Antaganden om tidsvinst · fylls i med verksamheten</x:v>
      </x:c>
      <x:c r="B11" s="6" t="str">
        <x:v>2. Antaganden om tidsvinst · fylls i med verksamheten</x:v>
      </x:c>
      <x:c r="C11" s="6" t="str">
        <x:v>2. Antaganden om tidsvinst · fylls i med verksamheten</x:v>
      </x:c>
    </x:row>
    <x:row r="12" ht="50" customHeight="1">
      <x:c r="A12" s="3" t="str">
        <x:v>Antal berörda medarbetare</x:v>
      </x:c>
      <x:c r="B12" s="23" t="n">
        <x:v>6000</x:v>
      </x:c>
      <x:c r="C12" s="14" t="str">
        <x:v>Verksamheten. Ett avgränsat antal, inte automatiskt alla anställda.</x:v>
      </x:c>
    </x:row>
    <x:row r="13" ht="50" customHeight="1">
      <x:c r="A13" s="3" t="str">
        <x:v>Sekunder sparade per person och relevant dag</x:v>
      </x:c>
      <x:c r="B13" s="23" t="n">
        <x:v>45</x:v>
      </x:c>
      <x:c r="C13" s="14" t="str">
        <x:v>Verksamhet / analys. Hypotes att pröva genom mätning.</x:v>
      </x:c>
    </x:row>
    <x:row r="14" ht="50" customHeight="1">
      <x:c r="A14" s="3" t="str">
        <x:v>Relevanta dagar per person under perioden</x:v>
      </x:c>
      <x:c r="B14" s="23" t="n">
        <x:v>220</x:v>
      </x:c>
      <x:c r="C14" s="14" t="str">
        <x:v>Verksamheten. 220 är bara ett räkneantagande i exemplet.</x:v>
      </x:c>
    </x:row>
    <x:row r="15" ht="50" customHeight="1">
      <x:c r="A15" s="3" t="str">
        <x:v>Andel som faktiskt nås och använder arbetssättet</x:v>
      </x:c>
      <x:c r="B15" s="15" t="n">
        <x:v>1</x:v>
      </x:c>
      <x:c r="C15" s="14" t="str">
        <x:v>Verksamheten. 100 % är ett antagande, inte ett konstaterat utfall.</x:v>
      </x:c>
    </x:row>
    <x:row r="16" ht="50" customHeight="1">
      <x:c r="A16" s="3" t="str">
        <x:v>Andel av tidsvinsten som bedöms användbar</x:v>
      </x:c>
      <x:c r="B16" s="15" t="n">
        <x:v>0.5</x:v>
      </x:c>
      <x:c r="C16" s="14" t="str">
        <x:v>Verksamhet + ekonomi. Små tidsluckor blir inte alltid användbar kapacitet.</x:v>
      </x:c>
    </x:row>
    <x:row r="17" ht="78" customHeight="1">
      <x:c r="A17" s="3" t="str">
        <x:v>Underlag och viktigaste osäkerhet</x:v>
      </x:c>
      <x:c r="B17" s="13" t="str">
        <x:v>45 sekunder × 6 000 är användarens hypotes. 220 dagar, 100 % användning och 50 % användbar tid är endast illustrationer. Ingen nytta är verifierad.</x:v>
      </x:c>
      <x:c r="C17" s="14" t="str">
        <x:v>Analys med verksamhet + ekonomi. Ange källa, hur antagandet prövas och vad som kan ge lägre nytta.</x:v>
      </x:c>
    </x:row>
    <x:row r="18" ht="50" customHeight="1">
      <x:c r="A18" s="3" t="str">
        <x:v>Sekunder per timme (omräkning)</x:v>
      </x:c>
      <x:c r="B18" s="24" t="n">
        <x:v>3600</x:v>
      </x:c>
      <x:c r="C18" s="14" t="str">
        <x:v>Fast enhetsomräkning. Ändra inte.</x:v>
      </x:c>
    </x:row>
    <x:row r="19" ht="50" customHeight="1">
      <x:c r="A19" s="3" t="str">
        <x:v>Teoretisk tidsvinst under perioden, timmar</x:v>
      </x:c>
      <x:c r="B19" s="25" t="n">
        <x:f>IF(COUNT(B12:B15)&lt;4,"",B12*B13*B14*B15/B18)</x:f>
        <x:v>16500</x:v>
      </x:c>
      <x:c r="C19" s="14" t="str">
        <x:v>Beräknas före antagandet om användbarhet. Ingen budgetbesparing.</x:v>
      </x:c>
    </x:row>
    <x:row r="20" ht="50" customHeight="1">
      <x:c r="A20" s="3" t="str">
        <x:v>Bedömd användbar tid, timmar</x:v>
      </x:c>
      <x:c r="B20" s="25" t="n">
        <x:f>IF(OR(B19="",COUNT(B16)=0),"",B19*B16)</x:f>
        <x:v>8250</x:v>
      </x:c>
      <x:c r="C20" s="14" t="str">
        <x:v>Icke bindande potential efter båda andelarna. Inte uppmätt eller realiserad effekt.</x:v>
      </x:c>
    </x:row>
    <x:row r="21" ht="50" customHeight="1">
      <x:c r="A21" s="6" t="str">
        <x:v>3. Kostnader och eventuell ekonomisk nytta · samma period</x:v>
      </x:c>
      <x:c r="B21" s="6" t="str">
        <x:v>3. Kostnader och eventuell ekonomisk nytta · samma period</x:v>
      </x:c>
      <x:c r="C21" s="6" t="str">
        <x:v>3. Kostnader och eventuell ekonomisk nytta · samma period</x:v>
      </x:c>
    </x:row>
    <x:row r="22" ht="50" customHeight="1">
      <x:c r="A22" s="3" t="str">
        <x:v>IT / gemensamma förutsättningar, kr</x:v>
      </x:c>
      <x:c r="B22" s="23" t="str"/>
      <x:c r="C22" s="14" t="str">
        <x:v>IT uppskattar införande + löpande kostnader. Ekonomi granskar fördelningen. Ange 0 om inga.</x:v>
      </x:c>
    </x:row>
    <x:row r="23" ht="50" customHeight="1">
      <x:c r="A23" s="3" t="str">
        <x:v>Verksamhetens förändring och förvaltning, kr</x:v>
      </x:c>
      <x:c r="B23" s="23" t="str"/>
      <x:c r="C23" s="14" t="str">
        <x:v>Verksamhet + ekonomi: dataarbete, utbildning, omställning och löpande merkostnader. Ange 0 om inga.</x:v>
      </x:c>
    </x:row>
    <x:row r="24" ht="50" customHeight="1">
      <x:c r="A24" s="3" t="str">
        <x:v>Summa kostnad under perioden, kr</x:v>
      </x:c>
      <x:c r="B24" s="25" t="str">
        <x:f>IF(COUNT(B22:B23)&lt;2,"",SUM(B22:B23))</x:f>
      </x:c>
      <x:c r="C24" s="14" t="str">
        <x:v>Båda kostnadsraderna behövs. Tomt betyder okänt, inte noll.</x:v>
      </x:c>
    </x:row>
    <x:row r="25" ht="66" customHeight="1">
      <x:c r="A25" s="3" t="str">
        <x:v>Bedömd faktisk kostnadsminskning, kr</x:v>
      </x:c>
      <x:c r="B25" s="23" t="str"/>
      <x:c r="C25" s="14" t="str">
        <x:v>Ekonomi + verksamhet: vilken utgift kan minska? Ange 0 om ingen är identifierad. Timmar omvandlas inte automatiskt till kronor.</x:v>
      </x:c>
    </x:row>
    <x:row r="26" ht="50" customHeight="1">
      <x:c r="A26" s="3" t="str">
        <x:v>Ekonomiskt netto under perioden, kr</x:v>
      </x:c>
      <x:c r="B26" s="25" t="str">
        <x:f>IF(OR(B24="",COUNT(B25)=0),"",B25-B24)</x:f>
      </x:c>
      <x:c r="C26" s="14" t="str">
        <x:v>Kostnadsminskning minus kostnader. Tid och kvalitet ingår inte i kr-nettot.</x:v>
      </x:c>
    </x:row>
    <x:row r="27" ht="66" customHeight="1">
      <x:c r="A27" s="3" t="str">
        <x:v>Förklaring till kronor / gemensam kostnad</x:v>
      </x:c>
      <x:c r="B27" s="13" t="str"/>
      <x:c r="C27" s="14" t="str">
        <x:v>Ekonomi: utgift som kan minska, källa och tidpunkt. IT anger beroende/kostnads-ID och andel. Räkna gemensam kostnad en gång på totalen.</x:v>
      </x:c>
    </x:row>
    <x:row r="28" ht="50" customHeight="1">
      <x:c r="A28" s="6" t="str">
        <x:v>4. Hur ska verksamheten kunna visa nyttan? · ett första förslag</x:v>
      </x:c>
      <x:c r="B28" s="6" t="str">
        <x:v>4. Hur ska verksamheten kunna visa nyttan? · ett första förslag</x:v>
      </x:c>
      <x:c r="C28" s="6" t="str">
        <x:v>4. Hur ska verksamheten kunna visa nyttan? · ett första förslag</x:v>
      </x:c>
    </x:row>
    <x:row r="29" ht="50" customHeight="1">
      <x:c r="A29" s="3" t="str">
        <x:v>Kvalitet eller annan nytta / skyddsmått</x:v>
      </x:c>
      <x:c r="B29" s="13" t="str"/>
      <x:c r="C29" s="14" t="str">
        <x:v>Verksamheten anger mått i egen enhet. Exempelvis felandel eller svarstid. Sämre kvalitet får inte döljas av tidsvinst.</x:v>
      </x:c>
    </x:row>
    <x:row r="30" ht="78" customHeight="1">
      <x:c r="A30" s="3" t="str">
        <x:v>Nuläge, mätetal och datakälla</x:v>
      </x:c>
      <x:c r="B30" s="13" t="str">
        <x:v>Förslag: mät aktiv arbetstid för samma arbetsmoment före och efter förändringen. Följ även kvalitet och hur frigjord tid används. Nulägesvärde saknas.</x:v>
      </x:c>
      <x:c r="C30" s="14" t="str">
        <x:v>Verksamhet + analys. Ange befintlig baseline eller vad som måste mätas före förändringen.</x:v>
      </x:c>
    </x:row>
    <x:row r="31" ht="60" customHeight="1">
      <x:c r="A31" s="3" t="str">
        <x:v>Vem mäter och när?</x:v>
      </x:c>
      <x:c r="B31" s="13" t="str"/>
      <x:c r="C31" s="14" t="str">
        <x:v>Verksamheten utser person och föreslår datum för nuläge, första uppföljning och full effekt. IT kan tillhandahålla data.</x:v>
      </x:c>
    </x:row>
    <x:row r="32" ht="50" customHeight="1">
      <x:c r="A32" s="3" t="str">
        <x:v>Nästa komplettering</x:v>
      </x:c>
      <x:c r="B32" s="13" t="str">
        <x:v>Pröva 45-sekundershypotesen och om den frigjorda tiden går att använda.</x:v>
      </x:c>
      <x:c r="C32" s="14" t="str">
        <x:v>Samordnaren beskriver en konkret sak som saknas för bedömning. Lägg fler uppgifter i ärendet.</x:v>
      </x:c>
    </x:row>
    <x:row r="33" ht="50" customHeight="1">
      <x:c r="A33" s="3" t="str">
        <x:v>Ansvarig person för kompletteringen</x:v>
      </x:c>
      <x:c r="B33" s="13" t="str"/>
      <x:c r="C33" s="14" t="str">
        <x:v>Samordnaren pekar ut en person tillsammans med berörd verksamhet.</x:v>
      </x:c>
    </x:row>
    <x:row r="34" ht="50" customHeight="1">
      <x:c r="A34" s="3" t="str">
        <x:v>Klart senast</x:v>
      </x:c>
      <x:c r="B34" s="18" t="str"/>
      <x:c r="C34" s="14" t="str">
        <x:v>Samordnaren + ansvarig kommer överens om datum.</x:v>
      </x:c>
    </x:row>
    <x:row r="35" ht="50" customHeight="1">
      <x:c r="A35" s="6" t="str">
        <x:v>5. Låt samma underlag gå mellan rollerna · namn och datum</x:v>
      </x:c>
      <x:c r="B35" s="6" t="str">
        <x:v>5. Låt samma underlag gå mellan rollerna · namn och datum</x:v>
      </x:c>
      <x:c r="C35" s="6" t="str">
        <x:v>5. Låt samma underlag gå mellan rollerna · namn och datum</x:v>
      </x:c>
    </x:row>
    <x:row r="36" ht="50" customHeight="1">
      <x:c r="A36" s="3" t="str">
        <x:v>Verksamheten har berett nyttan</x:v>
      </x:c>
      <x:c r="B36" s="13" t="str"/>
      <x:c r="C36" s="14" t="str">
        <x:v>Nytta, mottagare, förändring och förslag till uppföljning. Inte accept av ett effektåtagande.</x:v>
      </x:c>
    </x:row>
    <x:row r="37" ht="50" customHeight="1">
      <x:c r="A37" s="3" t="str">
        <x:v>IT har kompletterat förutsättningarna</x:v>
      </x:c>
      <x:c r="B37" s="13" t="str"/>
      <x:c r="C37" s="14" t="str">
        <x:v>Beroenden, IT-kostnad och tekniska möjligheter till mätning. IT äger inte verksamhetens nytta.</x:v>
      </x:c>
    </x:row>
    <x:row r="38" ht="50" customHeight="1">
      <x:c r="A38" s="3" t="str">
        <x:v>Ekonomi har granskat kalkylen</x:v>
      </x:c>
      <x:c r="B38" s="13" t="str"/>
      <x:c r="C38" s="14" t="str">
        <x:v>Antaganden, period, kostnader, fördelning och skillnaden mellan tidsvinst och pengar.</x:v>
      </x:c>
    </x:row>
    <x:row r="39" ht="50" customHeight="1">
      <x:c r="A39" s="3" t="str">
        <x:v>Samordnaren har lämnat till beredning</x:v>
      </x:c>
      <x:c r="B39" s="13" t="str"/>
      <x:c r="C39" s="14" t="str">
        <x:v>Håller ihop kompletteringarna och lämnar potentialen till kvalificering / prioritering. Ingen automatisk prioritering.</x:v>
      </x:c>
    </x:row>
    <x:row r="40" ht="50" customHeight="1">
      <x:c r="A40" s="10" t="str">
        <x:v>Före start krävs separat lokalt effektåtagande och mänskligt beslut.</x:v>
      </x:c>
      <x:c r="B40" s="10" t="str">
        <x:v>Före start krävs separat lokalt effektåtagande och mänskligt beslut.</x:v>
      </x:c>
      <x:c r="C40" s="10" t="str">
        <x:v>Före start krävs separat lokalt effektåtagande och mänskligt beslut.</x:v>
      </x:c>
    </x:row>
    <x:row r="41" ht="48" customHeight="1">
      <x:c r="A41" s="10" t="str">
        <x:v>Denna mall ersätter inte startkraven: accepterad baseline, ansvar, förändring, kapacitet och datumsatt mätning.</x:v>
      </x:c>
      <x:c r="B41" s="10" t="str">
        <x:v>Denna mall ersätter inte startkraven: accepterad baseline, ansvar, förändring, kapacitet och datumsatt mätning.</x:v>
      </x:c>
      <x:c r="C41" s="10" t="str">
        <x:v>Denna mall ersätter inte startkraven: accepterad baseline, ansvar, förändring, kapacitet och datumsatt mätning.</x:v>
      </x:c>
    </x:row>
    <x:row r="42" ht="48" customHeight="1">
      <x:c r="A42" s="10" t="str">
        <x:v>Ingen automatisk koppling till Cockpit i version 0.1. Samordnaren för över granskade uppgifter med källa och version.</x:v>
      </x:c>
      <x:c r="B42" s="10" t="str">
        <x:v>Ingen automatisk koppling till Cockpit i version 0.1. Samordnaren för över granskade uppgifter med källa och version.</x:v>
      </x:c>
      <x:c r="C42" s="10" t="str">
        <x:v>Ingen automatisk koppling till Cockpit i version 0.1. Samordnaren för över granskade uppgifter med källa och version.</x:v>
      </x:c>
    </x:row>
    <x:row r="43" ht="50" customHeight="1">
      <x:c r="A43" s="19" t="str">
        <x:v>Exempeluppgifter och antaganden. Inga verkliga verksamhetsutfall eller beslut.</x:v>
      </x:c>
      <x:c r="B43" s="3"/>
      <x:c r="C43" s="3"/>
    </x:row>
  </x:sheetData>
  <x:mergeCells>
    <x:mergeCell ref="A1:C1"/>
    <x:mergeCell ref="A2:C2"/>
    <x:mergeCell ref="A3:C3"/>
    <x:mergeCell ref="A5:C5"/>
    <x:mergeCell ref="A11:C11"/>
    <x:mergeCell ref="A21:C21"/>
    <x:mergeCell ref="A28:C28"/>
    <x:mergeCell ref="A35:C35"/>
    <x:mergeCell ref="A40:C40"/>
    <x:mergeCell ref="A41:C41"/>
    <x:mergeCell ref="A42:C42"/>
    <x:mergeCell ref="A43:C43"/>
  </x:mergeCells>
  <x:dataValidations count="8">
    <x:dataValidation type="decimal" operator="between" sqref="B15">
      <x:formula1>0</x:formula1>
      <x:formula2>1</x:formula2>
    </x:dataValidation>
    <x:dataValidation type="decimal" operator="between" sqref="B16">
      <x:formula1>0</x:formula1>
      <x:formula2>1</x:formula2>
    </x:dataValidation>
    <x:dataValidation type="decimal" operator="greaterThanOrEqual" sqref="B12">
      <x:formula1>0</x:formula1>
    </x:dataValidation>
    <x:dataValidation type="decimal" operator="greaterThanOrEqual" sqref="B13">
      <x:formula1>0</x:formula1>
    </x:dataValidation>
    <x:dataValidation type="decimal" operator="greaterThanOrEqual" sqref="B14">
      <x:formula1>0</x:formula1>
    </x:dataValidation>
    <x:dataValidation type="decimal" operator="greaterThanOrEqual" sqref="B22">
      <x:formula1>0</x:formula1>
    </x:dataValidation>
    <x:dataValidation type="decimal" operator="greaterThanOrEqual" sqref="B23">
      <x:formula1>0</x:formula1>
    </x:dataValidation>
    <x:dataValidation type="decimal" operator="greaterThanOrEqual" sqref="B25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5758775c5d884dc0"/>
</x:worksheet>
</file>