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efdc5e07b344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tiativ" sheetId="1" r:id="R5bf542adb8764f4c"/>
    <x:sheet xmlns:r="http://schemas.openxmlformats.org/officeDocument/2006/relationships" name="Nytta" sheetId="2" r:id="R7e3d110c49584340"/>
    <x:sheet xmlns:r="http://schemas.openxmlformats.org/officeDocument/2006/relationships" name="Exempel" sheetId="3" r:id="R008bacb585174ea8"/>
  </x:sheets>
</x:workbook>
</file>

<file path=xl/comments1.xml><?xml version="1.0" encoding="utf-8"?>
<x:comments xmlns:x="http://schemas.openxmlformats.org/spreadsheetml/2006/main">
  <x:authors>
    <x:author>tc={7F806B8A-751B-41AF-96A1-DBFFB87D3311}</x:author>
  </x:authors>
  <x:commentList>
    <x:comment ref="C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Samtliga exempelvärden är konstruerade för att visa mallens bredd. Ingen verklig organisationsdata eller uppmätt effekt.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;[Red](#,##0);0"/>
    <x:numFmt numFmtId="202" formatCode="0.##;-0.##;0"/>
    <x:numFmt numFmtId="203" formatCode="#,##0;-#,##0;0"/>
  </x:numFmts>
  <x:fonts count="11">
    <x:font>
      <x:sz val="11"/>
      <x:name val="Carlito"/>
    </x:font>
    <x:font>
      <x:sz val="11"/>
      <x:name val="Aptos"/>
    </x:font>
    <x:font>
      <x:sz val="12"/>
      <x:name val="Aptos"/>
    </x:font>
    <x:font>
      <x:sz val="12"/>
      <x:color rgb="FFFFFFFF"/>
      <x:name val="Aptos"/>
    </x:font>
    <x:font>
      <x:b/>
      <x:sz val="12"/>
      <x:color rgb="FFFFFFFF"/>
      <x:name val="Aptos"/>
    </x:font>
    <x:font>
      <x:b/>
      <x:sz val="20"/>
      <x:color rgb="FFFFFFFF"/>
      <x:name val="Aptos"/>
    </x:font>
    <x:font>
      <x:b/>
      <x:sz val="12"/>
      <x:name val="Aptos"/>
    </x:font>
    <x:font>
      <x:sz val="12"/>
      <x:color rgb="FF1858A8"/>
      <x:name val="Aptos"/>
    </x:font>
    <x:font>
      <x:sz val="12"/>
      <x:color rgb="FF4B5F6A"/>
      <x:name val="Aptos"/>
    </x:font>
    <x:font>
      <x:sz val="12"/>
      <x:color rgb="FF17654D"/>
      <x:name val="Aptos"/>
    </x:font>
    <x:font>
      <x:b/>
      <x:sz val="12"/>
      <x:color rgb="FF17654D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F54"/>
      </x:patternFill>
    </x:fill>
    <x:fill>
      <x:patternFill patternType="solid">
        <x:fgColor rgb="FF35677C"/>
      </x:patternFill>
    </x:fill>
    <x:fill>
      <x:patternFill patternType="solid">
        <x:fgColor rgb="FFFFF7E8"/>
      </x:patternFill>
    </x:fill>
    <x:fill>
      <x:patternFill patternType="solid">
        <x:fgColor rgb="FFE6F3EF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200" fontId="7" fillId="4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wrapText="1"/>
    </x:xf>
    <x:xf numFmtId="201" fontId="7" fillId="4" borderId="0" xfId="0" applyNumberFormat="1" applyFont="1" applyFill="1" applyBorder="1" applyAlignment="1">
      <x:alignment wrapText="1"/>
    </x:xf>
    <x:xf numFmtId="201" fontId="10" fillId="5" borderId="0" xfId="0" applyNumberFormat="1" applyFont="1" applyFill="1" applyBorder="1" applyAlignment="1">
      <x:alignment wrapText="1"/>
    </x:xf>
    <x:xf numFmtId="202" fontId="7" fillId="4" borderId="0" xfId="0" applyNumberFormat="1" applyFont="1" applyFill="1" applyBorder="1" applyAlignment="1">
      <x:alignment wrapText="1"/>
    </x:xf>
    <x:xf numFmtId="202" fontId="10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203" fontId="7" fillId="4" borderId="0" xfId="0" applyNumberFormat="1" applyFont="1" applyFill="1" applyBorder="1" applyAlignment="1">
      <x:alignment wrapText="1"/>
    </x:xf>
    <x:xf numFmtId="203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0fd33dfdfe4862" /><Relationship Type="http://schemas.openxmlformats.org/officeDocument/2006/relationships/theme" Target="/xl/theme/theme1.xml" Id="Rdd9450a218154797" /><Relationship Type="http://schemas.openxmlformats.org/officeDocument/2006/relationships/sharedStrings" Target="/xl/sharedStrings.xml" Id="R885f8f09508e4e79" /><Relationship Type="http://schemas.openxmlformats.org/officeDocument/2006/relationships/worksheet" Target="/xl/worksheets/sheet1.xml" Id="R5bf542adb8764f4c" /><Relationship Type="http://schemas.openxmlformats.org/officeDocument/2006/relationships/worksheet" Target="/xl/worksheets/sheet2.xml" Id="R7e3d110c49584340" /><Relationship Type="http://schemas.openxmlformats.org/officeDocument/2006/relationships/worksheet" Target="/xl/worksheets/sheet3.xml" Id="R008bacb585174ea8" /><Relationship Type="http://schemas.microsoft.com/office/2017/10/relationships/person" Target="/xl/persons/person.xml" Id="Rd2cb5ab706e04a62" /></Relationships>
</file>

<file path=xl/persons/person.xml><?xml version="1.0" encoding="utf-8"?>
<xltc:personList xmlns:xltc="http://schemas.microsoft.com/office/spreadsheetml/2018/threadedcomments">
  <xltc:person displayName="Johan Bengtsson" id="{8CB7986D-368F-4BF2-902F-B1426F20D98D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C4" dT="2026-09-07T10:44:43.626" personId="{8CB7986D-368F-4BF2-902F-B1426F20D98D}" id="{7F806B8A-751B-41AF-96A1-DBFFB87D3311}">
    <xltc:text>Samtliga exempelvärden är konstruerade för att visa mallens bredd. Ingen verklig organisationsdata eller uppmätt effekt.</xltc:text>
  </xltc:threadedComment>
</xltc:ThreadedComment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06fd4856aa324109" /><Relationship Type="http://schemas.openxmlformats.org/officeDocument/2006/relationships/vmlDrawing" Target="/xl/drawings/vmldrawing.vml" Id="Rc16fa8ed47f94e91" /><Relationship Type="http://schemas.microsoft.com/office/2017/10/relationships/threadedComment" Target="/xl/threadedcomments/threadedcomment.xml" Id="Rc351df515ca449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8" hidden="0" customWidth="1"/>
    <x:col min="3" max="3" width="48" hidden="0" customWidth="1"/>
  </x:cols>
  <x:sheetData>
    <x:row r="1" ht="48" customHeight="1">
      <x:c r="A1" s="7" t="str">
        <x:v>Gemensam nyttokalkyl · 0.2</x:v>
      </x:c>
      <x:c r="B1" s="6" t="str">
        <x:v>Gemensam nyttokalkyl · 0.2</x:v>
      </x:c>
      <x:c r="C1" s="6" t="str">
        <x:v>Gemensam nyttokalkyl · 0.2</x:v>
      </x:c>
    </x:row>
    <x:row r="2" ht="48" customHeight="1">
      <x:c r="A2" s="10" t="str">
        <x:v>Börja här. Samma grund för uppdrag, linjearbete, förstudier, projekt, program och möjliggörande initiativ.</x:v>
      </x:c>
      <x:c r="B2" s="10" t="str">
        <x:v>Börja här. Samma grund för uppdrag, linjearbete, förstudier, projekt, program och möjliggörande initiativ.</x:v>
      </x:c>
      <x:c r="C2" s="10" t="str">
        <x:v>Börja här. Samma grund för uppdrag, linjearbete, förstudier, projekt, program och möjliggörande initiativ.</x:v>
      </x:c>
    </x:row>
    <x:row r="3" ht="30" customHeight="1">
      <x:c r="A3" s="11" t="str">
        <x:v>Gemensam fråga</x:v>
      </x:c>
      <x:c r="B3" s="11" t="str">
        <x:v>Fyll i relevant underlag</x:v>
      </x:c>
      <x:c r="C3" s="11" t="str">
        <x:v>Ansvarig roll / hjälp</x:v>
      </x:c>
    </x:row>
    <x:row r="4" ht="60" customHeight="1">
      <x:c r="A4" s="3" t="str">
        <x:v>Initiativ, ID och version</x:v>
      </x:c>
      <x:c r="B4" s="13" t="str"/>
      <x:c r="C4" s="14" t="str">
        <x:v>Samordnaren. Ett gemensamt underlag; namnge tillhörande nyttoblad.</x:v>
      </x:c>
    </x:row>
    <x:row r="5" ht="60" customHeight="1">
      <x:c r="A5" s="3" t="str">
        <x:v>Behov, mål och alternativ</x:v>
      </x:c>
      <x:c r="B5" s="13" t="str"/>
      <x:c r="C5" s="14" t="str">
        <x:v>Verksamheten / initiativtagaren. Vad ska förbättras? Vad händer om vi avstår eller väljer en annan lösning?</x:v>
      </x:c>
    </x:row>
    <x:row r="6" ht="60" customHeight="1">
      <x:c r="A6" s="3" t="str">
        <x:v>Berörda verksamheter och avgränsning</x:v>
      </x:c>
      <x:c r="B6" s="13" t="str"/>
      <x:c r="C6" s="14" t="str">
        <x:v>Verksamheten. Nyttor beskrivs per mottagare på bladet Nytta. HIT kan också vara initiativtagare eller mottagare.</x:v>
      </x:c>
    </x:row>
    <x:row r="7" ht="80" customHeight="1">
      <x:c r="A7" s="3" t="str">
        <x:v>Eventuella obligatoriska krav</x:v>
      </x:c>
      <x:c r="B7" s="13" t="str"/>
      <x:c r="C7" s="14" t="str">
        <x:v>Ansvarig sakfunktion anger krav, källa, tidsfrist och vem som bedömer tillämpligheten. Skilj grund för åtgärd från dess nyttor. Kostnader och alternativ bedöms även här.</x:v>
      </x:c>
    </x:row>
    <x:row r="8" ht="60" customHeight="1">
      <x:c r="A8" s="3" t="str">
        <x:v>Kalkylperiod från</x:v>
      </x:c>
      <x:c r="B8" s="15" t="str"/>
      <x:c r="C8" s="14" t="str">
        <x:v>Verksamhet + ekonomi. Samma period för samtliga belopp, inklusive införandet.</x:v>
      </x:c>
    </x:row>
    <x:row r="9" ht="60" customHeight="1">
      <x:c r="A9" s="3" t="str">
        <x:v>Kalkylperiod till</x:v>
      </x:c>
      <x:c r="B9" s="15" t="str"/>
      <x:c r="C9" s="14" t="str">
        <x:v>Verksamhet + ekonomi. Välj tillräckligt långt perspektiv. Vid behov länkas en fördjupad kalkyl med årsvisa flöden och alternativ.</x:v>
      </x:c>
    </x:row>
    <x:row r="10" ht="60" customHeight="1">
      <x:c r="A10" s="3" t="str">
        <x:v>Förutsättningar och länkade initiativ</x:v>
      </x:c>
      <x:c r="B10" s="13" t="str"/>
      <x:c r="C10" s="14" t="str">
        <x:v>Verksamhet + relevanta specialister, inklusive IT. Vilka beroenden, kostnads-ID:n och leveranser krävs före nyttan?</x:v>
      </x:c>
    </x:row>
    <x:row r="11" ht="48" customHeight="1">
      <x:c r="A11" s="6" t="str">
        <x:v>Gemensam ekonomi · kronor för hela kalkylperioden, inte belopp per år</x:v>
      </x:c>
      <x:c r="B11" s="6" t="str">
        <x:v>Gemensam ekonomi · kronor för hela kalkylperioden, inte belopp per år</x:v>
      </x:c>
      <x:c r="C11" s="6" t="str">
        <x:v>Gemensam ekonomi · kronor för hela kalkylperioden, inte belopp per år</x:v>
      </x:c>
    </x:row>
    <x:row r="12" ht="60" customHeight="1">
      <x:c r="A12" s="3" t="str">
        <x:v>Införande: teknik och andra förutsättningar</x:v>
      </x:c>
      <x:c r="B12" s="19" t="str"/>
      <x:c r="C12" s="14" t="str">
        <x:v>IT / relevanta specialister + ekonomi. Även inköp och externa insatser. Ange 0 när kostnaden är bedömd till noll.</x:v>
      </x:c>
    </x:row>
    <x:row r="13" ht="60" customHeight="1">
      <x:c r="A13" s="3" t="str">
        <x:v>Införande: verksamhetsförändring</x:v>
      </x:c>
      <x:c r="B13" s="19" t="str"/>
      <x:c r="C13" s="14" t="str">
        <x:v>Verksamhet + ekonomi. Egen arbetstid, dataarbete, utbildning och omställning. Räkna inte samma resurs på flera kostnadsrader.</x:v>
      </x:c>
    </x:row>
    <x:row r="14" ht="60" customHeight="1">
      <x:c r="A14" s="3" t="str">
        <x:v>Tillkommande drift och förvaltning</x:v>
      </x:c>
      <x:c r="B14" s="19" t="str"/>
      <x:c r="C14" s="14" t="str">
        <x:v>IT / förvaltning + ekonomi. Summera merkostnader under hela perioden. Befintlig oförändrad kostnad räknas inte in.</x:v>
      </x:c>
    </x:row>
    <x:row r="15" ht="60" customHeight="1">
      <x:c r="A15" s="3" t="str">
        <x:v>Övrig tillkommande verksamhetskostnad</x:v>
      </x:c>
      <x:c r="B15" s="19" t="str"/>
      <x:c r="C15" s="14" t="str">
        <x:v>Verksamhet + ekonomi. Löpande merkostnad under samma period. Beskriv källor och fördelning nedan.</x:v>
      </x:c>
    </x:row>
    <x:row r="16" ht="60" customHeight="1">
      <x:c r="A16" s="3" t="str">
        <x:v>Samlad kostnad</x:v>
      </x:c>
      <x:c r="B16" s="20" t="str">
        <x:f>IF(COUNT(B12:B15)&lt;4,"",SUM(B12:B15))</x:f>
      </x:c>
      <x:c r="C16" s="14" t="str">
        <x:v>Beräknas när alla fyra kostnadsrader har värden. Okänt lämnas tomt.</x:v>
      </x:c>
    </x:row>
    <x:row r="17" ht="60" customHeight="1">
      <x:c r="A17" s="3" t="str">
        <x:v>Bedömd faktisk kostnadsminskning</x:v>
      </x:c>
      <x:c r="B17" s="19" t="str"/>
      <x:c r="C17" s="14" t="str">
        <x:v>Ekonomi + verksamhet. Sammanställ belagda möjligheter från länkade nyttor utan dubbelräkning. Ange 0 om ingen identifierats.</x:v>
      </x:c>
    </x:row>
    <x:row r="18" ht="60" customHeight="1">
      <x:c r="A18" s="3" t="str">
        <x:v>Bedömd undviken framtida kostnad</x:v>
      </x:c>
      <x:c r="B18" s="19" t="str"/>
      <x:c r="C18" s="14" t="str">
        <x:v>Ekonomi + verksamhet. Separat jämförelse med dokumenterat nollalternativ. Inte automatiskt en minskning av dagens budget.</x:v>
      </x:c>
    </x:row>
    <x:row r="19" ht="60" customHeight="1">
      <x:c r="A19" s="3" t="str">
        <x:v>Netto: kostnadsminskning minus kostnad</x:v>
      </x:c>
      <x:c r="B19" s="20" t="str">
        <x:f>IF(OR(B16="",COUNT(B17)=0),"",B17-B16)</x:f>
      </x:c>
      <x:c r="C19" s="14" t="str">
        <x:v>Inkluderar inte undviken kostnad, tid, kvalitet eller andra nyttor. Ett negativt belopp avgör inte ensamt om initiativet behövs.</x:v>
      </x:c>
    </x:row>
    <x:row r="20" ht="60" customHeight="1">
      <x:c r="A20" s="3" t="str">
        <x:v>Källor, kostnadsfördelning och osäkerhet</x:v>
      </x:c>
      <x:c r="B20" s="13" t="str"/>
      <x:c r="C20" s="14" t="str">
        <x:v>Ekonomi granskar. Ange delade kostnaders ID och allokeringsprincip. Fördelade andelar får inte läggas ovanpå samma grundkostnad.</x:v>
      </x:c>
    </x:row>
    <x:row r="21" ht="60" customHeight="1">
      <x:c r="A21" s="3" t="str">
        <x:v>Samordnare och granskande roller</x:v>
      </x:c>
      <x:c r="B21" s="13" t="str"/>
      <x:c r="C21" s="14" t="str">
        <x:v>Namn och granskningsdatum: verksamhet, ekonomi och relevanta specialister. Varje roll bidrar inom sitt ansvar.</x:v>
      </x:c>
    </x:row>
    <x:row r="22" ht="60" customHeight="1">
      <x:c r="A22" s="3" t="str">
        <x:v>Nästa komplettering – vad, vem, datum</x:v>
      </x:c>
      <x:c r="B22" s="13" t="str"/>
      <x:c r="C22" s="14" t="str">
        <x:v>Samordnaren och ansvarig person. Samma underlag går vidare eller tillbaka för komplettering; dokumentera version och granskning.</x:v>
      </x:c>
    </x:row>
    <x:row r="23" ht="48" customHeight="1">
      <x:c r="A23" s="10" t="str">
        <x:v>Fortsätt på Nytta: ett blad per nytta och mottagande verksamhet. Kopiera bladet vid behov.</x:v>
      </x:c>
      <x:c r="B23" s="10" t="str">
        <x:v>Fortsätt på Nytta: ett blad per nytta och mottagande verksamhet. Kopiera bladet vid behov.</x:v>
      </x:c>
      <x:c r="C23" s="10" t="str">
        <x:v>Fortsätt på Nytta: ett blad per nytta och mottagande verksamhet. Kopiera bladet vid behov.</x:v>
      </x:c>
    </x:row>
    <x:row r="24" ht="48" customHeight="1">
      <x:c r="A24" s="10" t="str">
        <x:v>Potential inför prioritering. Start kräver separat accepterat lokalt effektåtagande och mänskligt beslut.</x:v>
      </x:c>
      <x:c r="B24" s="10" t="str">
        <x:v>Potential inför prioritering. Start kräver separat accepterat lokalt effektåtagande och mänskligt beslut.</x:v>
      </x:c>
      <x:c r="C24" s="10" t="str">
        <x:v>Potential inför prioritering. Start kräver separat accepterat lokalt effektåtagande och mänskligt beslut.</x:v>
      </x:c>
    </x:row>
    <x:row r="25" ht="48" customHeight="1">
      <x:c r="A25" s="10" t="str">
        <x:v>Arbetsförslag. Uppgifter förs manuellt till Cockpit med källa och version. Ingen automatisk import.</x:v>
      </x:c>
      <x:c r="B25" s="10" t="str">
        <x:v>Arbetsförslag. Uppgifter förs manuellt till Cockpit med källa och version. Ingen automatisk import.</x:v>
      </x:c>
      <x:c r="C25" s="10" t="str">
        <x:v>Arbetsförslag. Uppgifter förs manuellt till Cockpit med källa och version. Ingen automatisk import.</x:v>
      </x:c>
    </x:row>
  </x:sheetData>
  <x:mergeCells>
    <x:mergeCell ref="A1:C1"/>
    <x:mergeCell ref="A2:C2"/>
    <x:mergeCell ref="A11:C11"/>
    <x:mergeCell ref="A23:C23"/>
    <x:mergeCell ref="A24:C24"/>
    <x:mergeCell ref="A25:C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8" hidden="0" customWidth="1"/>
    <x:col min="3" max="3" width="48" hidden="0" customWidth="1"/>
  </x:cols>
  <x:sheetData>
    <x:row r="1" ht="48" customHeight="1">
      <x:c r="A1" s="7" t="str">
        <x:v>Nytta och uppföljning · 0.2</x:v>
      </x:c>
      <x:c r="B1" s="6" t="str">
        <x:v>Nytta och uppföljning · 0.2</x:v>
      </x:c>
      <x:c r="C1" s="6" t="str">
        <x:v>Nytta och uppföljning · 0.2</x:v>
      </x:c>
    </x:row>
    <x:row r="2" ht="48" customHeight="1">
      <x:c r="A2" s="10" t="str">
        <x:v>Kopiera detta blad för varje nytta och mottagare. Använd relevant mått; pengar är inte ett krav.</x:v>
      </x:c>
      <x:c r="B2" s="10" t="str">
        <x:v>Kopiera detta blad för varje nytta och mottagare. Använd relevant mått; pengar är inte ett krav.</x:v>
      </x:c>
      <x:c r="C2" s="10" t="str">
        <x:v>Kopiera detta blad för varje nytta och mottagare. Använd relevant mått; pengar är inte ett krav.</x:v>
      </x:c>
    </x:row>
    <x:row r="3" ht="30" customHeight="1">
      <x:c r="A3" s="11" t="str">
        <x:v>Gemensam fråga</x:v>
      </x:c>
      <x:c r="B3" s="11" t="str">
        <x:v>Fyll i relevant underlag</x:v>
      </x:c>
      <x:c r="C3" s="11" t="str">
        <x:v>Ansvarig roll / hjälp</x:v>
      </x:c>
    </x:row>
    <x:row r="4" ht="60" customHeight="1">
      <x:c r="A4" s="3" t="str">
        <x:v>Initiativ-ID och nyttans ID</x:v>
      </x:c>
      <x:c r="B4" s="13" t="str"/>
      <x:c r="C4" s="14" t="str">
        <x:v>Samordnaren. Unikt nytto-ID gör bidrag och dubbelräkning möjliga att följa.</x:v>
      </x:c>
    </x:row>
    <x:row r="5" ht="60" customHeight="1">
      <x:c r="A5" s="3" t="str">
        <x:v>Mottagande verksamhet</x:v>
      </x:c>
      <x:c r="B5" s="13" t="str"/>
      <x:c r="C5" s="14" t="str">
        <x:v>Verksamheten anger var förbättringen uppstår. Även en intern stödfunktion kan vara mottagare av en egen förbättring.</x:v>
      </x:c>
    </x:row>
    <x:row r="6" ht="60" customHeight="1">
      <x:c r="A6" s="3" t="str">
        <x:v>Typ av nytta</x:v>
      </x:c>
      <x:c r="B6" s="13" t="str"/>
      <x:c r="C6" s="14" t="str">
        <x:v>Verksamhet + ekonomi. Exempel: kostnadsminskning, undviken kostnad, kapacitet, kvalitet, service, arbetsmiljö, robusthet eller miljö.</x:v>
      </x:c>
    </x:row>
    <x:row r="7" ht="60" customHeight="1">
      <x:c r="A7" s="3" t="str">
        <x:v>Vad blir bättre – och för vem?</x:v>
      </x:c>
      <x:c r="B7" s="13" t="str"/>
      <x:c r="C7" s="14" t="str">
        <x:v>Verksamheten beskriver förbättringen. En levererad plattform eller införd rutin är inte i sig bevis för verksamhetsnytta.</x:v>
      </x:c>
    </x:row>
    <x:row r="8" ht="60" customHeight="1">
      <x:c r="A8" s="3" t="str">
        <x:v>Mätetal och enhet / bedömningsskala</x:v>
      </x:c>
      <x:c r="B8" s="13" t="str"/>
      <x:c r="C8" s="14" t="str">
        <x:v>Verksamhet + analys. Exempelvis kr, timmar, väntedagar, felandel eller en definierad kvalitativ bedömning.</x:v>
      </x:c>
    </x:row>
    <x:row r="9" ht="60" customHeight="1">
      <x:c r="A9" s="3" t="str">
        <x:v>Nulägesvärde / jämförelsevärde</x:v>
      </x:c>
      <x:c r="B9" s="21" t="str"/>
      <x:c r="C9" s="14" t="str">
        <x:v>Verksamhet + analys. Ange tal eller bedömning på definierad skala. Lämna tomt om det behöver mätas.</x:v>
      </x:c>
    </x:row>
    <x:row r="10" ht="60" customHeight="1">
      <x:c r="A10" s="3" t="str">
        <x:v>Nulägets källa, period och definition</x:v>
      </x:c>
      <x:c r="B10" s="21" t="str"/>
      <x:c r="C10" s="14" t="str">
        <x:v>Verksamhet + analys. Skilj uppmätt nuläge från antaget nollalternativ. Definition, urval och tidsperiod måste gå att jämföra.</x:v>
      </x:c>
    </x:row>
    <x:row r="11" ht="60" customHeight="1">
      <x:c r="A11" s="3" t="str">
        <x:v>Bedömt framtida värde / läge</x:v>
      </x:c>
      <x:c r="B11" s="21" t="str"/>
      <x:c r="C11" s="14" t="str">
        <x:v>Verksamheten med ekonomi och specialister. Icke bindande potential, inte ett beslutat effektmål.</x:v>
      </x:c>
    </x:row>
    <x:row r="12" ht="60" customHeight="1">
      <x:c r="A12" s="3" t="str">
        <x:v>Skillnad: bedömt läge minus nuläge</x:v>
      </x:c>
      <x:c r="B12" s="22" t="str">
        <x:f>IF(COUNT(B9,B11)&lt;2,"",B11-B9)</x:f>
      </x:c>
      <x:c r="C12" s="14" t="str">
        <x:v>Beräknas bara för två tal i samma enhet. Tecknet säger inte om förändringen är bra. För kvalitativ skala används beskrivningen.</x:v>
      </x:c>
    </x:row>
    <x:row r="13" ht="60" customHeight="1">
      <x:c r="A13" s="3" t="str">
        <x:v>När kan nyttan uppstå och nå full nivå?</x:v>
      </x:c>
      <x:c r="B13" s="13" t="str"/>
      <x:c r="C13" s="14" t="str">
        <x:v>Verksamheten. Ange förväntad start, utveckling över tid och slut på bedömningsperioden. Olika nyttor kan ha olika tidsfönster.</x:v>
      </x:c>
    </x:row>
    <x:row r="14" ht="60" customHeight="1">
      <x:c r="A14" s="3" t="str">
        <x:v>Underlag, antaganden och osäkerhet</x:v>
      </x:c>
      <x:c r="B14" s="13" t="str"/>
      <x:c r="C14" s="14" t="str">
        <x:v>Verksamhet + analys + ekonomi. Ange källa eller kalkylbilaga och vad som kan ge lägre eller högre nytta. Ingen universell multiplikationsformel.</x:v>
      </x:c>
    </x:row>
    <x:row r="15" ht="60" customHeight="1">
      <x:c r="A15" s="3" t="str">
        <x:v>Nödvändig verksamhetsförändring</x:v>
      </x:c>
      <x:c r="B15" s="13" t="str"/>
      <x:c r="C15" s="14" t="str">
        <x:v>Verksamheten. Hur ska arbetssätt, resursanvändning eller beslut förändras för att nyttan ska uppstå?</x:v>
      </x:c>
    </x:row>
    <x:row r="16" ht="60" customHeight="1">
      <x:c r="A16" s="3" t="str">
        <x:v>Förändringsansvarig och mottagarkapacitet</x:v>
      </x:c>
      <x:c r="B16" s="13" t="str"/>
      <x:c r="C16" s="14" t="str">
        <x:v>Verksamheten föreslår ansvarig person och bedömer vad som behövs för att ta emot förändringen.</x:v>
      </x:c>
    </x:row>
    <x:row r="17" ht="60" customHeight="1">
      <x:c r="A17" s="3" t="str">
        <x:v>Mätmetod, datakälla och mätningsansvarig</x:v>
      </x:c>
      <x:c r="B17" s="13" t="str"/>
      <x:c r="C17" s="14" t="str">
        <x:v>Verksamhet + analys. Hur jämför vi och vem mäter? IT kan tillhandahålla data och mäter sina egna leveranser.</x:v>
      </x:c>
    </x:row>
    <x:row r="18" ht="60" customHeight="1">
      <x:c r="A18" s="3" t="str">
        <x:v>Föreslagna mättillfällen</x:v>
      </x:c>
      <x:c r="B18" s="13" t="str"/>
      <x:c r="C18" s="14" t="str">
        <x:v>Verksamheten. Datum för nuläge, första mätning, eventuell upprepning och bedömning av full effekt.</x:v>
      </x:c>
    </x:row>
    <x:row r="19" ht="60" customHeight="1">
      <x:c r="A19" s="3" t="str">
        <x:v>Kvalitet, risker och negativa effekter</x:v>
      </x:c>
      <x:c r="B19" s="13" t="str"/>
      <x:c r="C19" s="14" t="str">
        <x:v>Verksamhet + relevanta sakfunktioner. Vad får inte försämras? Ange skyddsmått och hantering av målkonflikter.</x:v>
      </x:c>
    </x:row>
    <x:row r="20" ht="60" customHeight="1">
      <x:c r="A20" s="3" t="str">
        <x:v>Bidrag, beroenden och överlappande nyttor</x:v>
      </x:c>
      <x:c r="B20" s="13" t="str"/>
      <x:c r="C20" s="14" t="str">
        <x:v>Samordnare + verksamhet. Vilka initiativ bidrar till samma effekt? Länka dem; redovisa inte hela effekten på varje bidragande projekt.</x:v>
      </x:c>
    </x:row>
    <x:row r="21" ht="60" customHeight="1">
      <x:c r="A21" s="3" t="str">
        <x:v>Föreslagen effektägare och granskning</x:v>
      </x:c>
      <x:c r="B21" s="13" t="str"/>
      <x:c r="C21" s="14" t="str">
        <x:v>Verksamheten utser person med mandat. Ange också vilka som granskat och datum. Detta är ännu inte ett accepterat åtagande.</x:v>
      </x:c>
    </x:row>
    <x:row r="22" ht="60" customHeight="1">
      <x:c r="A22" s="3" t="str">
        <x:v>Nästa komplettering – vad, vem, datum</x:v>
      </x:c>
      <x:c r="B22" s="13" t="str"/>
      <x:c r="C22" s="14" t="str">
        <x:v>Samordnaren håller ihop ärendet. Fyll endast det som behövs nu; okända uppgifter blir tydliga kompletteringar.</x:v>
      </x:c>
    </x:row>
    <x:row r="23" ht="48" customHeight="1">
      <x:c r="A23" s="10" t="str">
        <x:v>Före start: verksamheten accepterar separat effektåtagande med beslutad baseline, ansvar och datum.</x:v>
      </x:c>
      <x:c r="B23" s="10" t="str">
        <x:v>Före start: verksamheten accepterar separat effektåtagande med beslutad baseline, ansvar och datum.</x:v>
      </x:c>
      <x:c r="C23" s="10" t="str">
        <x:v>Före start: verksamheten accepterar separat effektåtagande med beslutad baseline, ansvar och datum.</x:v>
      </x:c>
    </x:row>
    <x:row r="24" ht="48" customHeight="1">
      <x:c r="A24" s="10" t="str">
        <x:v>Kostnader finns på Initiativ. Kopiering av nyttoblad ska inte kopiera eller duplicera gemensamma kostnader.</x:v>
      </x:c>
      <x:c r="B24" s="10" t="str">
        <x:v>Kostnader finns på Initiativ. Kopiering av nyttoblad ska inte kopiera eller duplicera gemensamma kostnader.</x:v>
      </x:c>
      <x:c r="C24" s="10" t="str">
        <x:v>Kostnader finns på Initiativ. Kopiering av nyttoblad ska inte kopiera eller duplicera gemensamma kostnader.</x:v>
      </x:c>
    </x:row>
  </x:sheetData>
  <x:mergeCells>
    <x:mergeCell ref="A1:C1"/>
    <x:mergeCell ref="A2:C2"/>
    <x:mergeCell ref="A23:C23"/>
    <x:mergeCell ref="A24:C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4" hidden="0" customWidth="1"/>
    <x:col min="3" max="3" width="15" hidden="0" customWidth="1"/>
    <x:col min="4" max="4" width="16" hidden="0" customWidth="1"/>
    <x:col min="5" max="5" width="16" hidden="0" customWidth="1"/>
    <x:col min="6" max="6" width="49" hidden="0" customWidth="1"/>
  </x:cols>
  <x:sheetData>
    <x:row r="1" ht="44" customHeight="1">
      <x:c r="A1" s="6" t="str">
        <x:v>Olika nyttor · samma gemensamma frågor</x:v>
      </x:c>
      <x:c r="B1" s="4"/>
      <x:c r="C1" s="4"/>
      <x:c r="D1" s="4"/>
      <x:c r="E1" s="4"/>
      <x:c r="F1" s="4"/>
    </x:row>
    <x:row r="2" ht="44" customHeight="1">
      <x:c r="A2" s="6" t="str">
        <x:v>Exempel på olika mått – alla värden är fiktiva bedömningar, inga verifierade utfall.</x:v>
      </x:c>
      <x:c r="B2" s="4"/>
      <x:c r="C2" s="4"/>
      <x:c r="D2" s="4"/>
      <x:c r="E2" s="4"/>
      <x:c r="F2" s="4"/>
    </x:row>
    <x:row r="3" ht="44" customHeight="1">
      <x:c r="A3" s="23" t="str">
        <x:v>Typ av nytta</x:v>
      </x:c>
      <x:c r="B3" s="23" t="str">
        <x:v>Mått / enhet</x:v>
      </x:c>
      <x:c r="C3" s="23" t="str">
        <x:v>Jämförelseläge</x:v>
      </x:c>
      <x:c r="D3" s="23" t="str">
        <x:v>Bedömt läge</x:v>
      </x:c>
      <x:c r="E3" s="23" t="str">
        <x:v>Skillnad</x:v>
      </x:c>
      <x:c r="F3" s="23" t="str">
        <x:v>Vad behöver verksamheten visa?</x:v>
      </x:c>
    </x:row>
    <x:row r="4" ht="84" customHeight="1">
      <x:c r="A4" s="3" t="str">
        <x:v>Kostnadsminskning</x:v>
      </x:c>
      <x:c r="B4" s="3" t="str">
        <x:v>Årlig extern utgift, kr</x:v>
      </x:c>
      <x:c r="C4" s="25" t="n">
        <x:v>120000</x:v>
      </x:c>
      <x:c r="D4" s="25" t="n">
        <x:v>100000</x:v>
      </x:c>
      <x:c r="E4" s="26" t="n">
        <x:f>IF(COUNT(C4:D4)&lt;2,"",D4-C4)</x:f>
        <x:v>-20000</x:v>
      </x:c>
      <x:c r="F4" s="3" t="str">
        <x:v>Vilket avtal eller vilken utgift kan faktiskt minska, när och utan oönskad kvalitetsförlust?</x:v>
      </x:c>
    </x:row>
    <x:row r="5" ht="84" customHeight="1">
      <x:c r="A5" s="3" t="str">
        <x:v>Undviken framtida kostnad</x:v>
      </x:c>
      <x:c r="B5" s="3" t="str">
        <x:v>Prognos för ett år, kr</x:v>
      </x:c>
      <x:c r="C5" s="25" t="n">
        <x:v>150000</x:v>
      </x:c>
      <x:c r="D5" s="25" t="n">
        <x:v>120000</x:v>
      </x:c>
      <x:c r="E5" s="26" t="n">
        <x:f>IF(COUNT(C5:D5)&lt;2,"",D5-C5)</x:f>
        <x:v>-30000</x:v>
      </x:c>
      <x:c r="F5" s="3" t="str">
        <x:v>150 000 kr är ett antaget nollalternativ. Visa behovsprognosen; 30 000 kr är inte automatiskt en budgetbesparing.</x:v>
      </x:c>
    </x:row>
    <x:row r="6" ht="84" customHeight="1">
      <x:c r="A6" s="3" t="str">
        <x:v>Kapacitet</x:v>
      </x:c>
      <x:c r="B6" s="3" t="str">
        <x:v>Ärenden per månad vid samma bemanning</x:v>
      </x:c>
      <x:c r="C6" s="25" t="n">
        <x:v>400</x:v>
      </x:c>
      <x:c r="D6" s="25" t="n">
        <x:v>450</x:v>
      </x:c>
      <x:c r="E6" s="26" t="n">
        <x:f>IF(COUNT(C6:D6)&lt;2,"",D6-C6)</x:f>
        <x:v>50</x:v>
      </x:c>
      <x:c r="F6" s="3" t="str">
        <x:v>Visa faktisk genomströmning, jämförbar ärendemix och bibehållen kvalitet.</x:v>
      </x:c>
    </x:row>
    <x:row r="7" ht="84" customHeight="1">
      <x:c r="A7" s="3" t="str">
        <x:v>Kvalitet</x:v>
      </x:c>
      <x:c r="B7" s="3" t="str">
        <x:v>Fel per 100 granskade ärenden</x:v>
      </x:c>
      <x:c r="C7" s="25" t="n">
        <x:v>12</x:v>
      </x:c>
      <x:c r="D7" s="25" t="n">
        <x:v>8</x:v>
      </x:c>
      <x:c r="E7" s="26" t="n">
        <x:f>IF(COUNT(C7:D7)&lt;2,"",D7-C7)</x:f>
        <x:v>-4</x:v>
      </x:c>
      <x:c r="F7" s="3" t="str">
        <x:v>Definiera fel och urval. Säkerställ jämförbar mätning före och efter.</x:v>
      </x:c>
    </x:row>
    <x:row r="8" ht="84" customHeight="1">
      <x:c r="A8" s="3" t="str">
        <x:v>Service / tillgänglighet</x:v>
      </x:c>
      <x:c r="B8" s="3" t="str">
        <x:v>Väntetid, arbetsdagar</x:v>
      </x:c>
      <x:c r="C8" s="25" t="n">
        <x:v>12</x:v>
      </x:c>
      <x:c r="D8" s="25" t="n">
        <x:v>8</x:v>
      </x:c>
      <x:c r="E8" s="26" t="n">
        <x:f>IF(COUNT(C8:D8)&lt;2,"",D8-C8)</x:f>
        <x:v>-4</x:v>
      </x:c>
      <x:c r="F8" s="3" t="str">
        <x:v>Ange vilken väntetid och vilka mottagare. Följ också tillgänglighet för grupper som behöver stöd.</x:v>
      </x:c>
    </x:row>
    <x:row r="9" ht="84" customHeight="1">
      <x:c r="A9" s="3" t="str">
        <x:v>Robusthet</x:v>
      </x:c>
      <x:c r="B9" s="3" t="str">
        <x:v>Avbrottstid under ett år, timmar</x:v>
      </x:c>
      <x:c r="C9" s="25" t="n">
        <x:v>20</x:v>
      </x:c>
      <x:c r="D9" s="25" t="n">
        <x:v>8</x:v>
      </x:c>
      <x:c r="E9" s="26" t="n">
        <x:f>IF(COUNT(C9:D9)&lt;2,"",D9-C9)</x:f>
        <x:v>-12</x:v>
      </x:c>
      <x:c r="F9" s="3" t="str">
        <x:v>Visa hur färre avbrott påverkar den mottagande verksamheten, inte bara teknikens tillgänglighet.</x:v>
      </x:c>
    </x:row>
    <x:row r="10" ht="84" customHeight="1">
      <x:c r="A10" s="3" t="str">
        <x:v>Miljö</x:v>
      </x:c>
      <x:c r="B10" s="3" t="str">
        <x:v>Energianvändning under ett år, kWh</x:v>
      </x:c>
      <x:c r="C10" s="25" t="n">
        <x:v>100000</x:v>
      </x:c>
      <x:c r="D10" s="25" t="n">
        <x:v>80000</x:v>
      </x:c>
      <x:c r="E10" s="26" t="n">
        <x:f>IF(COUNT(C10:D10)&lt;2,"",D10-C10)</x:f>
        <x:v>-20000</x:v>
      </x:c>
      <x:c r="F10" s="3" t="str">
        <x:v>Jämför samma volym och förutsättningar. Håll energi och kronor separata även om de hänger ihop.</x:v>
      </x:c>
    </x:row>
    <x:row r="11" ht="84" customHeight="1">
      <x:c r="A11" s="3" t="str">
        <x:v>Arbetsmiljö</x:v>
      </x:c>
      <x:c r="B11" s="3" t="str">
        <x:v>Bedömning enligt definierad skala</x:v>
      </x:c>
      <x:c r="C11" s="25" t="str">
        <x:v>Otillräcklig</x:v>
      </x:c>
      <x:c r="D11" s="25" t="str">
        <x:v>God</x:v>
      </x:c>
      <x:c r="E11" s="26" t="str">
        <x:f>IF(COUNT(C11:D11)&lt;2,"",D11-C11)</x:f>
      </x:c>
      <x:c r="F11" s="3" t="str">
        <x:v>Definiera skala, evidens, bedömare och mättillfälle. Ord omvandlas inte automatiskt till poäng eller pengar.</x:v>
      </x:c>
    </x:row>
    <x:row r="12" ht="48" customHeight="1">
      <x:c r="A12" s="9" t="str">
        <x:v>Tecknet visar förändring, inte automatiskt förbättring. Enheter, perioder och nyttor får inte summeras godtyckligt.</x:v>
      </x:c>
      <x:c r="B12" s="8"/>
      <x:c r="C12" s="8"/>
      <x:c r="D12" s="8"/>
      <x:c r="E12" s="8"/>
      <x:c r="F12" s="8"/>
    </x:row>
    <x:row r="13" ht="48" customHeight="1">
      <x:c r="A13" s="9" t="str">
        <x:v>Gemensam infrastruktur kan möjliggöra flera nyttor. Kostnaden räknas en gång; effekterna ägs och mäts hos respektive mottagare.</x:v>
      </x:c>
      <x:c r="B13" s="8"/>
      <x:c r="C13" s="8"/>
      <x:c r="D13" s="8"/>
      <x:c r="E13" s="8"/>
      <x:c r="F13" s="8"/>
    </x:row>
    <x:row r="14" ht="48" customHeight="1">
      <x:c r="A14" s="9" t="str">
        <x:v>Obligatoriska krav är en separat grund för åtgärd. Ange källa och ansvarig bedömare; bedöm fortfarande kostnader och alternativ.</x:v>
      </x:c>
      <x:c r="B14" s="8"/>
      <x:c r="C14" s="8"/>
      <x:c r="D14" s="8"/>
      <x:c r="E14" s="8"/>
      <x:c r="F14" s="8"/>
    </x:row>
  </x:sheetData>
  <x:mergeCells>
    <x:mergeCell ref="A1:F1"/>
    <x:mergeCell ref="A2:F2"/>
    <x:mergeCell ref="A12:F12"/>
    <x:mergeCell ref="A13:F13"/>
    <x:mergeCell ref="A14:F14"/>
  </x:mergeCells>
  <x:pageMargins left="0.7" right="0.7" top="0.75" bottom="0.75" header="0.3" footer="0.3"/>
  <x:legacyDrawing xmlns:r="http://schemas.openxmlformats.org/officeDocument/2006/relationships" r:id="Rc16fa8ed47f94e91"/>
</x:worksheet>
</file>